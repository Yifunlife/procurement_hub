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/>
  </bookViews>
  <sheets>
    <sheet name="亦玩集团报价表" sheetId="2" r:id="rId1"/>
  </sheets>
  <definedNames>
    <definedName name="_xlnm.Print_Area" localSheetId="0">亦玩集团报价表!$A$7:$N$17</definedName>
    <definedName name="_xlnm.Print_Titles" localSheetId="0">亦玩集团报价表!$7:$7</definedName>
    <definedName name="编号">亦玩集团报价表!$D$11:$D$15</definedName>
    <definedName name="单价">亦玩集团报价表!#REF!</definedName>
    <definedName name="商品名称">亦玩集团报价表!#REF!</definedName>
    <definedName name="型号说明">亦玩集团报价表!#REF!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95" name="ID_684F6F056EF84888BDF7058A9515FFB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38350" y="64811275"/>
          <a:ext cx="2124075" cy="2781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8" name="ID_10A178F58CB14913A85073E50A6D51A7" descr="ScreenShot_2026-08-14_165056_635"/>
        <xdr:cNvPicPr/>
      </xdr:nvPicPr>
      <xdr:blipFill>
        <a:blip r:embed="rId2"/>
        <a:stretch>
          <a:fillRect/>
        </a:stretch>
      </xdr:blipFill>
      <xdr:spPr>
        <a:xfrm>
          <a:off x="0" y="0"/>
          <a:ext cx="3133725" cy="277177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<sst xmlns="http://schemas.openxmlformats.org/spreadsheetml/2006/main" count="50" uniqueCount="44">
  <si>
    <t>亦玩集团+XX项目 采购清单</t>
  </si>
  <si>
    <t>项目名</t>
  </si>
  <si>
    <t>项目地</t>
  </si>
  <si>
    <t>商务</t>
  </si>
  <si>
    <t>供应商编号</t>
  </si>
  <si>
    <t>报价公司</t>
  </si>
  <si>
    <t>联系人</t>
  </si>
  <si>
    <t>联系电话</t>
  </si>
  <si>
    <t>采购员</t>
  </si>
  <si>
    <t>下单时间</t>
  </si>
  <si>
    <t>深化时间预估</t>
  </si>
  <si>
    <t>生产时间预估</t>
  </si>
  <si>
    <t>运输时间预估</t>
  </si>
  <si>
    <t>总工期预估(抵达上海)</t>
  </si>
  <si>
    <t>序号
No.</t>
  </si>
  <si>
    <t>款号
Item Number</t>
  </si>
  <si>
    <t>大场景图   Wide-angle shot</t>
  </si>
  <si>
    <t>产品名称
Product Name</t>
  </si>
  <si>
    <t>图片展示
Product Name</t>
  </si>
  <si>
    <t>规格/尺寸
Specifications
/Dimensions</t>
  </si>
  <si>
    <t>单位
Unit</t>
  </si>
  <si>
    <t>数量
Quantity</t>
  </si>
  <si>
    <t>单价
RMB</t>
  </si>
  <si>
    <t>合计金额
RMB</t>
  </si>
  <si>
    <t>材质/工艺/配置</t>
  </si>
  <si>
    <t>安装方式</t>
  </si>
  <si>
    <t>备注
Notes</t>
  </si>
  <si>
    <t>包装体积
Volume</t>
  </si>
  <si>
    <t>1、本次报价应为完整成品价格，包含材料、加工、人工、深化制作、常规损耗及产品组装等费用。  
2、产品涉及灯具、电源、变压器、电机、音响、五金及连接件等配套件的，应按图纸及要求完整配套报价，不得遗漏。  
3、报价应包含产品正常组装、安装所需的全部配件及连接件。  
4、供应商应充分考虑产品的结构、拆分、包装及运输可行性；如存在无法制作、工艺风险或需要修改的内容，应在报价时书面注明。  
5、除特别注明外，报价产品应达到成品交付状态，我司无需进行二次加工或改造。 
6、本次报价已包含从生产工厂到上海的单程运费；
7、未明确包含的费用必须在报价时单独注明；未注明的，视为已包含在报价范围内。</t>
  </si>
  <si>
    <t>定制玻璃钢灯具-示例</t>
  </si>
  <si>
    <t>0.4*0.37*0.6</t>
  </si>
  <si>
    <t>个</t>
  </si>
  <si>
    <t>主材：
工艺：
灯光：</t>
  </si>
  <si>
    <r>
      <rPr>
        <sz val="12"/>
        <rFont val="Wingdings"/>
        <charset val="134"/>
      </rPr>
      <t>¨</t>
    </r>
    <r>
      <rPr>
        <sz val="12"/>
        <rFont val="宋体"/>
        <charset val="134"/>
      </rPr>
      <t xml:space="preserve">吊装
</t>
    </r>
    <r>
      <rPr>
        <sz val="12"/>
        <rFont val="Wingdings"/>
        <charset val="134"/>
      </rPr>
      <t>¨</t>
    </r>
    <r>
      <rPr>
        <sz val="12"/>
        <rFont val="宋体"/>
        <charset val="134"/>
      </rPr>
      <t xml:space="preserve">壁挂
</t>
    </r>
    <r>
      <rPr>
        <sz val="12"/>
        <rFont val="Wingdings"/>
        <charset val="134"/>
      </rPr>
      <t>¨</t>
    </r>
    <r>
      <rPr>
        <sz val="12"/>
        <rFont val="宋体"/>
        <charset val="134"/>
      </rPr>
      <t>落地</t>
    </r>
  </si>
  <si>
    <t>放一直整理图</t>
  </si>
  <si>
    <t>1.45*0.15*1.45</t>
  </si>
  <si>
    <t>小计（不含税）</t>
  </si>
  <si>
    <t>小规模公司(普通发票)</t>
  </si>
  <si>
    <t>一般纳税人（增值税发票）</t>
  </si>
  <si>
    <t>收取8%  抵扣13%</t>
  </si>
  <si>
    <t>总计（含税）</t>
  </si>
  <si>
    <t>合计金额
（大写）</t>
  </si>
  <si>
    <t>备注：</t>
  </si>
  <si>
    <t>此报价有效期为60天；
以下为空白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</si>
</sst>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[DBNum2][$RMB]General;[Red][DBNum2][$RMB]General"/>
  </numFmts>
  <fonts count="3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8"/>
      <name val="字魂36号-正文宋楷"/>
      <charset val="134"/>
    </font>
    <font>
      <b/>
      <sz val="12"/>
      <name val="字魂36号-正文宋楷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b/>
      <sz val="12"/>
      <color theme="5" tint="-0.499984740745262"/>
      <name val="字魂36号-正文宋楷"/>
      <charset val="134"/>
    </font>
    <font>
      <sz val="12"/>
      <name val="宋体"/>
      <charset val="134"/>
    </font>
    <font>
      <sz val="12"/>
      <name val="Wingdings"/>
      <charset val="134"/>
    </font>
    <font>
      <b/>
      <sz val="12"/>
      <name val="宋体"/>
      <charset val="134"/>
    </font>
    <font>
      <sz val="12"/>
      <color theme="1"/>
      <name val="字魂36号-正文宋楷"/>
      <charset val="134"/>
    </font>
    <font>
      <sz val="11"/>
      <color theme="1"/>
      <name val="字魂36号-正文宋楷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4" tint="0.399975585192419"/>
      </left>
      <right/>
      <top/>
      <bottom/>
      <diagonal/>
    </border>
    <border>
      <left style="thin">
        <color auto="1"/>
      </left>
      <right style="thin">
        <color theme="4" tint="0.399975585192419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theme="4" tint="0.399975585192419"/>
      </right>
      <top style="thin">
        <color auto="1"/>
      </top>
      <bottom/>
      <diagonal/>
    </border>
    <border>
      <left style="thin">
        <color auto="1"/>
      </left>
      <right style="thin">
        <color theme="4" tint="0.399975585192419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6" applyNumberFormat="0" applyAlignment="0" applyProtection="0">
      <alignment vertical="center"/>
    </xf>
    <xf numFmtId="0" fontId="21" fillId="7" borderId="17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8" borderId="18" applyNumberFormat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3">
    <xf numFmtId="0" fontId="0" fillId="0" borderId="0" xfId="0"/>
    <xf numFmtId="0" fontId="1" fillId="0" borderId="0" xfId="49" applyFont="1" applyFill="1">
      <alignment vertical="center"/>
    </xf>
    <xf numFmtId="0" fontId="1" fillId="0" borderId="0" xfId="49" applyFont="1">
      <alignment vertical="center"/>
    </xf>
    <xf numFmtId="0" fontId="2" fillId="2" borderId="1" xfId="49" applyFont="1" applyFill="1" applyBorder="1" applyAlignment="1" applyProtection="1">
      <alignment horizontal="center" vertical="center" wrapText="1"/>
      <protection locked="0"/>
    </xf>
    <xf numFmtId="0" fontId="3" fillId="2" borderId="1" xfId="49" applyFont="1" applyFill="1" applyBorder="1" applyAlignment="1" applyProtection="1">
      <alignment horizontal="center" vertical="center" wrapText="1"/>
      <protection locked="0"/>
    </xf>
    <xf numFmtId="0" fontId="4" fillId="0" borderId="0" xfId="49" applyFont="1" applyAlignment="1">
      <alignment horizontal="left" vertical="center" wrapText="1"/>
    </xf>
    <xf numFmtId="0" fontId="3" fillId="2" borderId="2" xfId="49" applyFont="1" applyFill="1" applyBorder="1" applyAlignment="1" applyProtection="1">
      <alignment horizontal="center" vertical="center" wrapText="1"/>
      <protection locked="0"/>
    </xf>
    <xf numFmtId="0" fontId="3" fillId="2" borderId="3" xfId="49" applyFont="1" applyFill="1" applyBorder="1" applyAlignment="1" applyProtection="1">
      <alignment horizontal="center" vertical="center" wrapText="1"/>
      <protection locked="0"/>
    </xf>
    <xf numFmtId="0" fontId="3" fillId="2" borderId="1" xfId="49" applyFont="1" applyFill="1" applyBorder="1" applyAlignment="1" applyProtection="1">
      <alignment vertical="center" wrapText="1"/>
      <protection locked="0"/>
    </xf>
    <xf numFmtId="0" fontId="3" fillId="2" borderId="1" xfId="49" applyFont="1" applyFill="1" applyBorder="1" applyAlignment="1" applyProtection="1">
      <alignment horizontal="left" vertical="center" wrapText="1"/>
      <protection locked="0"/>
    </xf>
    <xf numFmtId="0" fontId="4" fillId="2" borderId="1" xfId="49" applyFont="1" applyFill="1" applyBorder="1" applyAlignment="1">
      <alignment horizontal="left" vertical="center"/>
    </xf>
    <xf numFmtId="0" fontId="4" fillId="2" borderId="2" xfId="49" applyFont="1" applyFill="1" applyBorder="1" applyAlignment="1">
      <alignment horizontal="center" vertical="center"/>
    </xf>
    <xf numFmtId="0" fontId="4" fillId="2" borderId="3" xfId="49" applyFont="1" applyFill="1" applyBorder="1" applyAlignment="1">
      <alignment horizontal="center" vertical="center"/>
    </xf>
    <xf numFmtId="0" fontId="3" fillId="2" borderId="4" xfId="49" applyFont="1" applyFill="1" applyBorder="1" applyAlignment="1" applyProtection="1">
      <alignment horizontal="center" vertical="center" wrapText="1"/>
      <protection locked="0"/>
    </xf>
    <xf numFmtId="0" fontId="5" fillId="2" borderId="1" xfId="49" applyFont="1" applyFill="1" applyBorder="1" applyAlignment="1">
      <alignment horizontal="left" vertical="center" wrapText="1"/>
    </xf>
    <xf numFmtId="14" fontId="5" fillId="2" borderId="1" xfId="49" applyNumberFormat="1" applyFont="1" applyFill="1" applyBorder="1" applyAlignment="1">
      <alignment horizontal="left" vertical="center"/>
    </xf>
    <xf numFmtId="0" fontId="5" fillId="2" borderId="1" xfId="49" applyFont="1" applyFill="1" applyBorder="1" applyAlignment="1">
      <alignment horizontal="left" vertical="center"/>
    </xf>
    <xf numFmtId="0" fontId="3" fillId="2" borderId="5" xfId="49" applyFont="1" applyFill="1" applyBorder="1" applyAlignment="1" applyProtection="1">
      <alignment horizontal="center" vertical="center" wrapText="1"/>
      <protection locked="0"/>
    </xf>
    <xf numFmtId="0" fontId="3" fillId="2" borderId="0" xfId="49" applyFont="1" applyFill="1" applyAlignment="1" applyProtection="1">
      <alignment horizontal="center" vertical="center" wrapText="1"/>
      <protection locked="0"/>
    </xf>
    <xf numFmtId="0" fontId="3" fillId="2" borderId="5" xfId="49" applyFont="1" applyFill="1" applyBorder="1" applyAlignment="1" applyProtection="1">
      <alignment horizontal="left" vertical="center" wrapText="1"/>
      <protection locked="0"/>
    </xf>
    <xf numFmtId="0" fontId="3" fillId="2" borderId="0" xfId="49" applyFont="1" applyFill="1" applyAlignment="1" applyProtection="1">
      <alignment horizontal="left" vertical="center" wrapText="1"/>
      <protection locked="0"/>
    </xf>
    <xf numFmtId="0" fontId="5" fillId="2" borderId="5" xfId="49" applyFont="1" applyFill="1" applyBorder="1" applyAlignment="1">
      <alignment horizontal="left" vertical="center" wrapText="1"/>
    </xf>
    <xf numFmtId="0" fontId="5" fillId="2" borderId="5" xfId="49" applyFont="1" applyFill="1" applyBorder="1" applyAlignment="1">
      <alignment horizontal="center" vertical="center"/>
    </xf>
    <xf numFmtId="0" fontId="5" fillId="2" borderId="6" xfId="49" applyFont="1" applyFill="1" applyBorder="1" applyAlignment="1">
      <alignment horizontal="center" vertical="center"/>
    </xf>
    <xf numFmtId="0" fontId="6" fillId="3" borderId="7" xfId="49" applyNumberFormat="1" applyFont="1" applyFill="1" applyBorder="1" applyAlignment="1">
      <alignment horizontal="center" vertical="center" wrapText="1"/>
    </xf>
    <xf numFmtId="0" fontId="6" fillId="3" borderId="5" xfId="49" applyNumberFormat="1" applyFont="1" applyFill="1" applyBorder="1" applyAlignment="1">
      <alignment horizontal="center" vertical="center" wrapText="1"/>
    </xf>
    <xf numFmtId="44" fontId="6" fillId="4" borderId="8" xfId="49" applyNumberFormat="1" applyFont="1" applyFill="1" applyBorder="1" applyAlignment="1">
      <alignment horizontal="center" vertical="center" wrapText="1"/>
    </xf>
    <xf numFmtId="0" fontId="6" fillId="3" borderId="9" xfId="49" applyNumberFormat="1" applyFont="1" applyFill="1" applyBorder="1" applyAlignment="1">
      <alignment horizontal="left" vertical="center" wrapText="1"/>
    </xf>
    <xf numFmtId="0" fontId="6" fillId="3" borderId="10" xfId="49" applyNumberFormat="1" applyFont="1" applyFill="1" applyBorder="1" applyAlignment="1">
      <alignment horizontal="left" vertical="center" wrapText="1"/>
    </xf>
    <xf numFmtId="0" fontId="6" fillId="3" borderId="11" xfId="49" applyNumberFormat="1" applyFont="1" applyFill="1" applyBorder="1" applyAlignment="1">
      <alignment horizontal="left" vertical="center" wrapText="1"/>
    </xf>
    <xf numFmtId="0" fontId="7" fillId="0" borderId="9" xfId="49" applyNumberFormat="1" applyFont="1" applyFill="1" applyBorder="1" applyAlignment="1">
      <alignment horizontal="center" vertical="center" wrapText="1"/>
    </xf>
    <xf numFmtId="0" fontId="7" fillId="0" borderId="9" xfId="49" applyNumberFormat="1" applyFont="1" applyFill="1" applyBorder="1" applyAlignment="1">
      <alignment horizontal="center" vertical="center" wrapText="1" shrinkToFit="1"/>
    </xf>
    <xf numFmtId="0" fontId="7" fillId="0" borderId="1" xfId="49" applyNumberFormat="1" applyFont="1" applyFill="1" applyBorder="1" applyAlignment="1">
      <alignment horizontal="center" vertical="center" wrapText="1"/>
    </xf>
    <xf numFmtId="0" fontId="8" fillId="0" borderId="9" xfId="49" applyNumberFormat="1" applyFont="1" applyFill="1" applyBorder="1" applyAlignment="1">
      <alignment horizontal="center" vertical="center" wrapText="1" shrinkToFit="1"/>
    </xf>
    <xf numFmtId="0" fontId="7" fillId="0" borderId="12" xfId="49" applyNumberFormat="1" applyFont="1" applyFill="1" applyBorder="1" applyAlignment="1">
      <alignment horizontal="center" vertical="center" wrapText="1" shrinkToFit="1"/>
    </xf>
    <xf numFmtId="0" fontId="7" fillId="0" borderId="2" xfId="49" applyNumberFormat="1" applyFont="1" applyFill="1" applyBorder="1" applyAlignment="1">
      <alignment horizontal="center" vertical="center" wrapText="1"/>
    </xf>
    <xf numFmtId="0" fontId="7" fillId="0" borderId="1" xfId="49" applyFont="1" applyBorder="1" applyAlignment="1" applyProtection="1">
      <alignment horizontal="center" vertical="center" wrapText="1"/>
      <protection locked="0"/>
    </xf>
    <xf numFmtId="176" fontId="9" fillId="0" borderId="1" xfId="49" applyNumberFormat="1" applyFont="1" applyBorder="1" applyAlignment="1">
      <alignment horizontal="center" vertical="center" wrapText="1" shrinkToFit="1"/>
    </xf>
    <xf numFmtId="0" fontId="7" fillId="0" borderId="1" xfId="49" applyFont="1" applyBorder="1" applyAlignment="1">
      <alignment horizontal="center" vertical="center" wrapText="1"/>
    </xf>
    <xf numFmtId="0" fontId="7" fillId="0" borderId="1" xfId="49" applyFont="1" applyBorder="1" applyAlignment="1">
      <alignment horizontal="center" vertical="center" wrapText="1" shrinkToFit="1"/>
    </xf>
    <xf numFmtId="44" fontId="7" fillId="0" borderId="1" xfId="49" applyNumberFormat="1" applyFont="1" applyBorder="1" applyAlignment="1">
      <alignment horizontal="center" vertical="center" wrapText="1"/>
    </xf>
    <xf numFmtId="0" fontId="7" fillId="0" borderId="2" xfId="49" applyFont="1" applyBorder="1" applyAlignment="1" applyProtection="1">
      <alignment horizontal="center" vertical="center" wrapText="1"/>
      <protection locked="0"/>
    </xf>
    <xf numFmtId="176" fontId="9" fillId="0" borderId="2" xfId="49" applyNumberFormat="1" applyFont="1" applyBorder="1" applyAlignment="1">
      <alignment horizontal="center" vertical="center" wrapText="1" shrinkToFit="1"/>
    </xf>
    <xf numFmtId="176" fontId="9" fillId="0" borderId="4" xfId="49" applyNumberFormat="1" applyFont="1" applyBorder="1" applyAlignment="1">
      <alignment horizontal="center" vertical="center" wrapText="1" shrinkToFit="1"/>
    </xf>
    <xf numFmtId="176" fontId="9" fillId="0" borderId="3" xfId="49" applyNumberFormat="1" applyFont="1" applyBorder="1" applyAlignment="1">
      <alignment horizontal="center" vertical="center" wrapText="1" shrinkToFit="1"/>
    </xf>
    <xf numFmtId="0" fontId="3" fillId="0" borderId="2" xfId="49" applyFont="1" applyBorder="1" applyAlignment="1">
      <alignment horizontal="center" vertical="center" wrapText="1"/>
    </xf>
    <xf numFmtId="0" fontId="3" fillId="0" borderId="4" xfId="49" applyFont="1" applyBorder="1" applyAlignment="1">
      <alignment horizontal="center" vertical="center" wrapText="1"/>
    </xf>
    <xf numFmtId="177" fontId="3" fillId="0" borderId="2" xfId="49" applyNumberFormat="1" applyFont="1" applyBorder="1" applyAlignment="1">
      <alignment horizontal="center" vertical="center" wrapText="1"/>
    </xf>
    <xf numFmtId="177" fontId="3" fillId="0" borderId="4" xfId="49" applyNumberFormat="1" applyFont="1" applyBorder="1" applyAlignment="1">
      <alignment horizontal="center" vertical="center" wrapText="1"/>
    </xf>
    <xf numFmtId="177" fontId="3" fillId="0" borderId="3" xfId="49" applyNumberFormat="1" applyFont="1" applyBorder="1" applyAlignment="1">
      <alignment horizontal="center" vertical="center" wrapText="1"/>
    </xf>
    <xf numFmtId="0" fontId="3" fillId="0" borderId="1" xfId="49" applyFont="1" applyBorder="1" applyAlignment="1">
      <alignment horizontal="left" vertical="center" wrapText="1"/>
    </xf>
    <xf numFmtId="0" fontId="10" fillId="0" borderId="0" xfId="49" applyFont="1" applyAlignment="1">
      <alignment horizontal="left" vertical="center" wrapText="1"/>
    </xf>
    <xf numFmtId="0" fontId="11" fillId="0" borderId="0" xfId="49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b val="1"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4.png"/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"/>
  <sheetViews>
    <sheetView showGridLines="0" tabSelected="1" view="pageBreakPreview" zoomScaleNormal="85" workbookViewId="0">
      <pane ySplit="7" topLeftCell="A8" activePane="bottomLeft" state="frozen"/>
      <selection/>
      <selection pane="bottomLeft" activeCell="N7" sqref="N7"/>
    </sheetView>
  </sheetViews>
  <sheetFormatPr defaultColWidth="9" defaultRowHeight="16.5"/>
  <cols>
    <col min="1" max="1" width="5.625" style="2" customWidth="1"/>
    <col min="2" max="2" width="8.56666666666667" style="2" customWidth="1"/>
    <col min="3" max="3" width="13.75" style="2" customWidth="1"/>
    <col min="4" max="4" width="11.625" style="2" customWidth="1"/>
    <col min="5" max="5" width="12.625" style="2" customWidth="1"/>
    <col min="6" max="6" width="17.35" style="2" customWidth="1"/>
    <col min="7" max="7" width="7.25" style="2" customWidth="1"/>
    <col min="8" max="8" width="8.625" style="2" customWidth="1"/>
    <col min="9" max="9" width="10.25" style="2" customWidth="1"/>
    <col min="10" max="12" width="12.625" style="2" customWidth="1"/>
    <col min="13" max="13" width="24.4416666666667" style="2" customWidth="1"/>
    <col min="14" max="14" width="8.83333333333333" style="2" customWidth="1"/>
    <col min="15" max="16384" width="9" style="2"/>
  </cols>
  <sheetData>
    <row r="1" ht="27" customHeight="1" spans="1:2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 t="s">
        <v>1</v>
      </c>
      <c r="M1" s="4"/>
      <c r="N1" s="4"/>
      <c r="O1" s="5"/>
      <c r="P1" s="5"/>
      <c r="Q1" s="5"/>
      <c r="R1" s="5"/>
      <c r="S1" s="5"/>
      <c r="T1" s="5"/>
    </row>
    <row r="2" ht="27" customHeight="1" spans="1:2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 t="s">
        <v>2</v>
      </c>
      <c r="M2" s="4"/>
      <c r="N2" s="4"/>
      <c r="O2" s="5"/>
      <c r="P2" s="5"/>
      <c r="Q2" s="5"/>
      <c r="R2" s="5"/>
      <c r="S2" s="5"/>
      <c r="T2" s="5"/>
    </row>
    <row r="3" ht="27" customHeight="1" spans="1:2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4" t="s">
        <v>3</v>
      </c>
      <c r="M3" s="4"/>
      <c r="N3" s="4"/>
      <c r="O3" s="5"/>
      <c r="P3" s="5"/>
      <c r="Q3" s="5"/>
      <c r="R3" s="5"/>
      <c r="S3" s="5"/>
      <c r="T3" s="5"/>
    </row>
    <row r="4" ht="33" customHeight="1" spans="1:20">
      <c r="A4" s="6" t="s">
        <v>4</v>
      </c>
      <c r="B4" s="7"/>
      <c r="C4" s="8"/>
      <c r="D4" s="8" t="s">
        <v>5</v>
      </c>
      <c r="E4" s="6"/>
      <c r="F4" s="7"/>
      <c r="G4" s="9" t="s">
        <v>6</v>
      </c>
      <c r="H4" s="9"/>
      <c r="I4" s="9"/>
      <c r="J4" s="9"/>
      <c r="K4" s="9"/>
      <c r="L4" s="10" t="s">
        <v>7</v>
      </c>
      <c r="M4" s="11"/>
      <c r="N4" s="12"/>
      <c r="O4" s="5"/>
      <c r="P4" s="5"/>
      <c r="Q4" s="5"/>
      <c r="R4" s="5"/>
      <c r="S4" s="5"/>
      <c r="T4" s="5"/>
    </row>
    <row r="5" ht="40" customHeight="1" spans="1:20">
      <c r="A5" s="6" t="s">
        <v>8</v>
      </c>
      <c r="B5" s="13"/>
      <c r="C5" s="7"/>
      <c r="D5" s="6"/>
      <c r="E5" s="13"/>
      <c r="F5" s="13"/>
      <c r="G5" s="9" t="s">
        <v>7</v>
      </c>
      <c r="H5" s="9"/>
      <c r="I5" s="9"/>
      <c r="J5" s="9"/>
      <c r="K5" s="9"/>
      <c r="L5" s="14" t="s">
        <v>9</v>
      </c>
      <c r="M5" s="15">
        <v>46265</v>
      </c>
      <c r="N5" s="16"/>
      <c r="O5" s="5"/>
      <c r="P5" s="5"/>
      <c r="Q5" s="5"/>
      <c r="R5" s="5"/>
      <c r="S5" s="5"/>
      <c r="T5" s="5"/>
    </row>
    <row r="6" ht="40" customHeight="1" spans="1:20">
      <c r="A6" s="17" t="s">
        <v>10</v>
      </c>
      <c r="B6" s="18"/>
      <c r="C6" s="18"/>
      <c r="D6" s="17">
        <v>5</v>
      </c>
      <c r="E6" s="17" t="s">
        <v>11</v>
      </c>
      <c r="F6" s="17">
        <v>5</v>
      </c>
      <c r="G6" s="19" t="s">
        <v>12</v>
      </c>
      <c r="H6" s="20"/>
      <c r="I6" s="20"/>
      <c r="J6" s="17">
        <v>5</v>
      </c>
      <c r="K6" s="18"/>
      <c r="L6" s="21" t="s">
        <v>13</v>
      </c>
      <c r="M6" s="22">
        <f>J6+F6+D6</f>
        <v>15</v>
      </c>
      <c r="N6" s="23"/>
      <c r="O6" s="5"/>
      <c r="P6" s="5"/>
      <c r="Q6" s="5"/>
      <c r="R6" s="5"/>
      <c r="S6" s="5"/>
      <c r="T6" s="5"/>
    </row>
    <row r="7" ht="67" customHeight="1" spans="1:20">
      <c r="A7" s="24" t="s">
        <v>14</v>
      </c>
      <c r="B7" s="25" t="s">
        <v>15</v>
      </c>
      <c r="C7" s="25" t="s">
        <v>16</v>
      </c>
      <c r="D7" s="25" t="s">
        <v>17</v>
      </c>
      <c r="E7" s="25" t="s">
        <v>18</v>
      </c>
      <c r="F7" s="25" t="s">
        <v>19</v>
      </c>
      <c r="G7" s="25" t="s">
        <v>20</v>
      </c>
      <c r="H7" s="25" t="s">
        <v>21</v>
      </c>
      <c r="I7" s="25" t="s">
        <v>22</v>
      </c>
      <c r="J7" s="25" t="s">
        <v>23</v>
      </c>
      <c r="K7" s="25" t="s">
        <v>24</v>
      </c>
      <c r="L7" s="25" t="s">
        <v>25</v>
      </c>
      <c r="M7" s="25" t="s">
        <v>26</v>
      </c>
      <c r="N7" s="26" t="s">
        <v>27</v>
      </c>
      <c r="O7" s="5"/>
      <c r="P7" s="5"/>
      <c r="Q7" s="5"/>
      <c r="R7" s="5"/>
      <c r="S7" s="5"/>
      <c r="T7" s="5"/>
    </row>
    <row r="8" customFormat="1" ht="126" customHeight="1" spans="1:20">
      <c r="A8" s="27" t="s">
        <v>28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9"/>
      <c r="O8" s="5"/>
      <c r="P8" s="5"/>
      <c r="Q8" s="5"/>
      <c r="R8" s="5"/>
      <c r="S8" s="5"/>
      <c r="T8" s="5"/>
    </row>
    <row r="9" s="1" customFormat="1" ht="70" customHeight="1" spans="1:20">
      <c r="A9" s="30">
        <f t="shared" ref="A9:A14" si="0">ROW()-5</f>
        <v>4</v>
      </c>
      <c r="B9" s="30"/>
      <c r="C9" s="30"/>
      <c r="D9" s="31" t="s">
        <v>29</v>
      </c>
      <c r="E9" s="31" t="str">
        <f>_xlfn.DISPIMG("ID_684F6F056EF84888BDF7058A9515FFBC",1)</f>
        <v>=DISPIMG("ID_684F6F056EF84888BDF7058A9515FFBC",1)</v>
      </c>
      <c r="F9" s="31" t="s">
        <v>30</v>
      </c>
      <c r="G9" s="31" t="s">
        <v>31</v>
      </c>
      <c r="H9" s="32">
        <v>1</v>
      </c>
      <c r="I9" s="31"/>
      <c r="J9" s="31">
        <f>I9*H9</f>
        <v>0</v>
      </c>
      <c r="K9" s="31" t="s">
        <v>32</v>
      </c>
      <c r="L9" s="33" t="s">
        <v>33</v>
      </c>
      <c r="M9" s="31" t="s">
        <v>34</v>
      </c>
      <c r="N9" s="34"/>
    </row>
    <row r="10" s="1" customFormat="1" ht="70" customHeight="1" spans="1:20">
      <c r="A10" s="30">
        <f t="shared" si="0"/>
        <v>5</v>
      </c>
      <c r="B10" s="30"/>
      <c r="C10" s="30"/>
      <c r="D10" s="31" t="s">
        <v>29</v>
      </c>
      <c r="E10" s="31" t="str">
        <f>_xlfn.DISPIMG("ID_10A178F58CB14913A85073E50A6D51A7",1)</f>
        <v>=DISPIMG("ID_10A178F58CB14913A85073E50A6D51A7",1)</v>
      </c>
      <c r="F10" s="31" t="s">
        <v>35</v>
      </c>
      <c r="G10" s="31" t="s">
        <v>31</v>
      </c>
      <c r="H10" s="35">
        <v>1</v>
      </c>
      <c r="I10" s="31"/>
      <c r="J10" s="31">
        <f>I10*H10</f>
        <v>0</v>
      </c>
      <c r="K10" s="31" t="s">
        <v>32</v>
      </c>
      <c r="L10" s="33" t="s">
        <v>33</v>
      </c>
      <c r="M10" s="31" t="s">
        <v>34</v>
      </c>
      <c r="N10" s="34"/>
    </row>
    <row r="11" ht="21" customHeight="1" spans="1:20">
      <c r="A11" s="30">
        <f t="shared" si="0"/>
        <v>6</v>
      </c>
      <c r="B11" s="36"/>
      <c r="C11" s="36"/>
      <c r="D11" s="37" t="s">
        <v>36</v>
      </c>
      <c r="E11" s="37"/>
      <c r="F11" s="37"/>
      <c r="G11" s="37"/>
      <c r="H11" s="37"/>
      <c r="I11" s="38"/>
      <c r="J11" s="39">
        <f>SUM(J7:J10)</f>
        <v>0</v>
      </c>
      <c r="K11" s="39"/>
      <c r="L11" s="39"/>
      <c r="M11" s="38"/>
      <c r="N11" s="40"/>
    </row>
    <row r="12" ht="21" customHeight="1" spans="1:20">
      <c r="A12" s="30">
        <f t="shared" si="0"/>
        <v>7</v>
      </c>
      <c r="B12" s="36"/>
      <c r="C12" s="41"/>
      <c r="D12" s="42" t="s">
        <v>37</v>
      </c>
      <c r="E12" s="43"/>
      <c r="F12" s="43"/>
      <c r="G12" s="43"/>
      <c r="H12" s="44"/>
      <c r="I12" s="38"/>
      <c r="J12" s="39">
        <f>J10*0.01</f>
        <v>0</v>
      </c>
      <c r="K12" s="39"/>
      <c r="L12" s="39"/>
      <c r="M12" s="38"/>
      <c r="N12" s="40"/>
    </row>
    <row r="13" ht="32" customHeight="1" spans="1:20">
      <c r="A13" s="30">
        <f t="shared" si="0"/>
        <v>8</v>
      </c>
      <c r="B13" s="36"/>
      <c r="C13" s="36"/>
      <c r="D13" s="37" t="s">
        <v>38</v>
      </c>
      <c r="E13" s="37"/>
      <c r="F13" s="37"/>
      <c r="G13" s="37"/>
      <c r="H13" s="37"/>
      <c r="I13" s="38"/>
      <c r="J13" s="39">
        <f>J11*0.06</f>
        <v>0</v>
      </c>
      <c r="K13" s="39"/>
      <c r="L13" s="39"/>
      <c r="M13" s="38" t="s">
        <v>39</v>
      </c>
      <c r="N13" s="40"/>
    </row>
    <row r="14" ht="21" customHeight="1" spans="1:20">
      <c r="A14" s="30">
        <f t="shared" si="0"/>
        <v>9</v>
      </c>
      <c r="B14" s="36"/>
      <c r="C14" s="36"/>
      <c r="D14" s="37" t="s">
        <v>40</v>
      </c>
      <c r="E14" s="37"/>
      <c r="F14" s="37"/>
      <c r="G14" s="37"/>
      <c r="H14" s="37"/>
      <c r="I14" s="38"/>
      <c r="J14" s="39">
        <f>SUM(J11:J13)</f>
        <v>0</v>
      </c>
      <c r="K14" s="39"/>
      <c r="L14" s="39"/>
      <c r="M14" s="38"/>
      <c r="N14" s="40"/>
    </row>
    <row r="15" ht="53.25" customHeight="1" spans="1:20">
      <c r="A15" s="45" t="s">
        <v>41</v>
      </c>
      <c r="B15" s="46"/>
      <c r="C15" s="46"/>
      <c r="D15" s="47">
        <f>J14</f>
        <v>0</v>
      </c>
      <c r="E15" s="48"/>
      <c r="F15" s="48"/>
      <c r="G15" s="48"/>
      <c r="H15" s="48"/>
      <c r="I15" s="48"/>
      <c r="J15" s="48"/>
      <c r="K15" s="48"/>
      <c r="L15" s="48"/>
      <c r="M15" s="48"/>
      <c r="N15" s="49"/>
    </row>
    <row r="16" ht="53.25" customHeight="1" spans="1:20">
      <c r="A16" s="50" t="s">
        <v>42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</row>
    <row r="17" ht="35" customHeight="1" spans="1:14">
      <c r="A17" s="51" t="s">
        <v>43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</row>
    <row r="18" spans="1:14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</row>
  </sheetData>
  <protectedRanges>
    <protectedRange sqref="N15 A11:A14" name="区域3"/>
  </protectedRanges>
  <mergeCells count="28">
    <mergeCell ref="M1:N1"/>
    <mergeCell ref="M2:N2"/>
    <mergeCell ref="M3:N3"/>
    <mergeCell ref="A4:B4"/>
    <mergeCell ref="E4:F4"/>
    <mergeCell ref="G4:I4"/>
    <mergeCell ref="J4:K4"/>
    <mergeCell ref="M4:N4"/>
    <mergeCell ref="A5:C5"/>
    <mergeCell ref="D5:F5"/>
    <mergeCell ref="G5:I5"/>
    <mergeCell ref="J5:K5"/>
    <mergeCell ref="M5:N5"/>
    <mergeCell ref="A6:B6"/>
    <mergeCell ref="G6:I6"/>
    <mergeCell ref="J6:K6"/>
    <mergeCell ref="M6:N6"/>
    <mergeCell ref="A8:N8"/>
    <mergeCell ref="D11:H11"/>
    <mergeCell ref="D12:H12"/>
    <mergeCell ref="D13:H13"/>
    <mergeCell ref="D14:H14"/>
    <mergeCell ref="A15:B15"/>
    <mergeCell ref="D15:N15"/>
    <mergeCell ref="A16:N16"/>
    <mergeCell ref="A17:N17"/>
    <mergeCell ref="O1:T7"/>
    <mergeCell ref="A1:K3"/>
  </mergeCells>
  <conditionalFormatting sqref="H9">
    <cfRule type="cellIs" dxfId="0" priority="158" stopIfTrue="1" operator="equal">
      <formula>"以下为空白!"</formula>
    </cfRule>
  </conditionalFormatting>
  <conditionalFormatting sqref="H10">
    <cfRule type="cellIs" dxfId="0" priority="1" stopIfTrue="1" operator="equal">
      <formula>"以下为空白!"</formula>
    </cfRule>
  </conditionalFormatting>
  <conditionalFormatting sqref="I11 M11 I12 M12 I13 M13 I14 M14">
    <cfRule type="cellIs" dxfId="0" priority="333" stopIfTrue="1" operator="equal">
      <formula>"以下为空白!"</formula>
    </cfRule>
  </conditionalFormatting>
  <dataValidations count="1">
    <dataValidation allowBlank="1" showInputMessage="1" showErrorMessage="1" error="你输入的编号有误,请重输,谢谢合作!" sqref="B11:C14"/>
  </dataValidations>
  <printOptions horizontalCentered="1"/>
  <pageMargins left="0.196850393700787" right="0.196850393700787" top="0.78740157480315" bottom="0.393700787401575" header="0.196850393700787" footer="0.196850393700787"/>
  <pageSetup paperSize="9" orientation="portrait"/>
  <headerFooter>
    <oddHeader>&amp;C&amp;G</oddHeader>
    <oddFooter>&amp;C&amp;G
第&amp;P页/共&amp;N页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>
    <arrUserId title="区域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亦玩集团报价表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臻年大管家英紫</cp:lastModifiedBy>
  <dcterms:created xsi:type="dcterms:W3CDTF">2015-06-05T18:19:00Z</dcterms:created>
  <cp:lastPrinted>2025-03-15T08:15:00Z</cp:lastPrinted>
  <dcterms:modified xsi:type="dcterms:W3CDTF">2026-09-03T05:20:36Z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CF9256225A63495FA0FD46AE0B2A3269_13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